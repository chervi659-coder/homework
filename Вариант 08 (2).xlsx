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herv\Downloads\"/>
    </mc:Choice>
  </mc:AlternateContent>
  <xr:revisionPtr revIDLastSave="0" documentId="13_ncr:1_{DEB7C399-4375-4B03-BC37-F4EED893ED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definedNames>
    <definedName name="solver_adj" localSheetId="3" hidden="1">Инвестиции!$H$6:$H$13</definedName>
    <definedName name="solver_adj" localSheetId="4" hidden="1">Назначения!$C$15:$F$18</definedName>
    <definedName name="solver_adj" localSheetId="0" hidden="1">Опт.План!$B$19:$D$20</definedName>
    <definedName name="solver_adj" localSheetId="2" hidden="1">Тр.Задача!$C$15:$G$18</definedName>
    <definedName name="solver_adj" localSheetId="1" hidden="1">Шт.Расписание!$F$5:$F$11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3" hidden="1">Инвестиции!$H$6:$H$13</definedName>
    <definedName name="solver_lhs1" localSheetId="4" hidden="1">Назначения!$C$15:$F$18</definedName>
    <definedName name="solver_lhs1" localSheetId="0" hidden="1">Опт.План!$B$19:$D$20</definedName>
    <definedName name="solver_lhs1" localSheetId="2" hidden="1">Тр.Задача!$C$15:$G$18</definedName>
    <definedName name="solver_lhs1" localSheetId="1" hidden="1">Шт.Расписание!$D$5:$D$11</definedName>
    <definedName name="solver_lhs2" localSheetId="3" hidden="1">Инвестиции!$N$9</definedName>
    <definedName name="solver_lhs2" localSheetId="4" hidden="1">Назначения!$C$19:$F$19</definedName>
    <definedName name="solver_lhs2" localSheetId="0" hidden="1">Опт.План!$B$21:$D$21</definedName>
    <definedName name="solver_lhs2" localSheetId="2" hidden="1">Тр.Задача!$C$19:$G$19</definedName>
    <definedName name="solver_lhs2" localSheetId="1" hidden="1">Шт.Расписание!$F$5:$F$11</definedName>
    <definedName name="solver_lhs3" localSheetId="4" hidden="1">Назначения!$G$15:$G$18</definedName>
    <definedName name="solver_lhs3" localSheetId="2" hidden="1">Тр.Задача!$H$15:$H$18</definedName>
    <definedName name="solver_lhs4" localSheetId="4" hidden="1">Назначения!$K$15:$K$18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2</definedName>
    <definedName name="solver_num" localSheetId="4" hidden="1">4</definedName>
    <definedName name="solver_num" localSheetId="0" hidden="1">2</definedName>
    <definedName name="solver_num" localSheetId="2" hidden="1">3</definedName>
    <definedName name="solver_num" localSheetId="1" hidden="1">2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Инвестиции!$N$10</definedName>
    <definedName name="solver_opt" localSheetId="4" hidden="1">Назначения!$I$17</definedName>
    <definedName name="solver_opt" localSheetId="0" hidden="1">Опт.План!$F$23</definedName>
    <definedName name="solver_opt" localSheetId="2" hidden="1">Тр.Задача!$J$19</definedName>
    <definedName name="solver_opt" localSheetId="1" hidden="1">Шт.Расписание!$G$13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el1" localSheetId="3" hidden="1">5</definedName>
    <definedName name="solver_rel1" localSheetId="4" hidden="1">5</definedName>
    <definedName name="solver_rel1" localSheetId="0" hidden="1">4</definedName>
    <definedName name="solver_rel1" localSheetId="2" hidden="1">4</definedName>
    <definedName name="solver_rel1" localSheetId="1" hidden="1">3</definedName>
    <definedName name="solver_rel2" localSheetId="3" hidden="1">1</definedName>
    <definedName name="solver_rel2" localSheetId="4" hidden="1">2</definedName>
    <definedName name="solver_rel2" localSheetId="0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2" hidden="1">1</definedName>
    <definedName name="solver_rel4" localSheetId="4" hidden="1">3</definedName>
    <definedName name="solver_rhs1" localSheetId="3" hidden="1">"бинарное"</definedName>
    <definedName name="solver_rhs1" localSheetId="4" hidden="1">"бинарное"</definedName>
    <definedName name="solver_rhs1" localSheetId="0" hidden="1">"целое"</definedName>
    <definedName name="solver_rhs1" localSheetId="2" hidden="1">"целое"</definedName>
    <definedName name="solver_rhs1" localSheetId="1" hidden="1">Шт.Расписание!$C$5:$C$11</definedName>
    <definedName name="solver_rhs2" localSheetId="3" hidden="1">Инвестиции!$E$7</definedName>
    <definedName name="solver_rhs2" localSheetId="4" hidden="1">1</definedName>
    <definedName name="solver_rhs2" localSheetId="0" hidden="1">Опт.План!$B$8:$D$8</definedName>
    <definedName name="solver_rhs2" localSheetId="2" hidden="1">Тр.Задача!$C$11:$G$11</definedName>
    <definedName name="solver_rhs2" localSheetId="1" hidden="1">"целое"</definedName>
    <definedName name="solver_rhs3" localSheetId="4" hidden="1">1</definedName>
    <definedName name="solver_rhs3" localSheetId="2" hidden="1">Тр.Задача!$H$7:$H$10</definedName>
    <definedName name="solver_rhs4" localSheetId="4" hidden="1">Назначения!$L$15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K16" i="6"/>
  <c r="K17" i="6"/>
  <c r="K18" i="6"/>
  <c r="K15" i="6"/>
  <c r="I17" i="6"/>
  <c r="L15" i="6" s="1"/>
  <c r="G16" i="6"/>
  <c r="G17" i="6"/>
  <c r="G18" i="6"/>
  <c r="G15" i="6"/>
  <c r="D19" i="6"/>
  <c r="E19" i="6"/>
  <c r="F19" i="6"/>
  <c r="C19" i="6"/>
  <c r="N10" i="5"/>
  <c r="N9" i="5"/>
  <c r="K10" i="5"/>
  <c r="K9" i="5"/>
  <c r="J19" i="4"/>
  <c r="H16" i="4"/>
  <c r="H17" i="4"/>
  <c r="H18" i="4"/>
  <c r="H15" i="4"/>
  <c r="D19" i="4"/>
  <c r="E19" i="4"/>
  <c r="F19" i="4"/>
  <c r="G19" i="4"/>
  <c r="C19" i="4"/>
  <c r="H5" i="3"/>
  <c r="G13" i="3"/>
  <c r="D11" i="3"/>
  <c r="D10" i="3"/>
  <c r="D9" i="3"/>
  <c r="D8" i="3"/>
  <c r="D7" i="3"/>
  <c r="D6" i="3"/>
  <c r="D5" i="3"/>
  <c r="C21" i="2"/>
  <c r="D21" i="2"/>
  <c r="B21" i="2"/>
  <c r="E19" i="2"/>
  <c r="E20" i="2"/>
</calcChain>
</file>

<file path=xl/sharedStrings.xml><?xml version="1.0" encoding="utf-8"?>
<sst xmlns="http://schemas.openxmlformats.org/spreadsheetml/2006/main" count="109" uniqueCount="68">
  <si>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</si>
  <si>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</si>
  <si>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</si>
  <si>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</si>
  <si>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</si>
  <si>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</si>
  <si>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</si>
  <si>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</si>
  <si>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</si>
  <si>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</si>
  <si>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</si>
  <si>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</si>
  <si>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</si>
  <si>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</si>
  <si>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</si>
  <si>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</si>
  <si>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</si>
  <si>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</si>
  <si>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</si>
  <si>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</si>
  <si>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</si>
  <si>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</si>
  <si>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</si>
  <si>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</si>
  <si>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</si>
  <si>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</si>
  <si>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</si>
  <si>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</si>
  <si>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</si>
  <si>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</si>
  <si>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</si>
  <si>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</si>
  <si>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</si>
  <si>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</si>
  <si>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</si>
  <si>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</si>
  <si>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</si>
  <si>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</si>
  <si>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</si>
  <si>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</si>
  <si>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</si>
  <si>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</si>
  <si>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</si>
  <si>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</si>
  <si>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</si>
  <si>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</si>
  <si>
    <t>бригада</t>
  </si>
  <si>
    <t>пн,вт</t>
  </si>
  <si>
    <t>вт,ср</t>
  </si>
  <si>
    <t>ср,чт</t>
  </si>
  <si>
    <t>чт,пт</t>
  </si>
  <si>
    <t>пт,сб</t>
  </si>
  <si>
    <t>сб,вс</t>
  </si>
  <si>
    <t>вс,пн</t>
  </si>
  <si>
    <t>кол-во</t>
  </si>
  <si>
    <t>участие</t>
  </si>
  <si>
    <t>затраты</t>
  </si>
  <si>
    <t>прибыль</t>
  </si>
  <si>
    <t>участие 2.0</t>
  </si>
  <si>
    <t>затраты80к</t>
  </si>
  <si>
    <t>прибыль80к</t>
  </si>
  <si>
    <t>зп.рабочего</t>
  </si>
  <si>
    <t>норма</t>
  </si>
  <si>
    <t xml:space="preserve">   цена 120</t>
  </si>
  <si>
    <t>цена 130</t>
  </si>
  <si>
    <t>цена 140</t>
  </si>
  <si>
    <t>цена 350</t>
  </si>
  <si>
    <t>цена 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</si>
</sst>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5" borderId="0" xfId="0" applyFill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2">
    <cellStyle name="Гиперссылка" xfId="1" builtinId="8"/>
    <cellStyle name="Обычный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0</xdr:row>
      <xdr:rowOff>38100</xdr:rowOff>
    </xdr:from>
    <xdr:to>
      <xdr:col>18</xdr:col>
      <xdr:colOff>60960</xdr:colOff>
      <xdr:row>16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486900" y="3810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13</xdr:col>
      <xdr:colOff>472440</xdr:colOff>
      <xdr:row>0</xdr:row>
      <xdr:rowOff>0</xdr:rowOff>
    </xdr:from>
    <xdr:to>
      <xdr:col>20</xdr:col>
      <xdr:colOff>472440</xdr:colOff>
      <xdr:row>7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946404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E29" sqref="E29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ht="4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9" t="s">
        <v>12</v>
      </c>
    </row>
    <row r="3" spans="1:15" x14ac:dyDescent="0.3">
      <c r="E3" s="6" t="s">
        <v>9</v>
      </c>
    </row>
    <row r="4" spans="1:15" x14ac:dyDescent="0.3">
      <c r="A4" s="25" t="s">
        <v>0</v>
      </c>
      <c r="B4" s="26" t="s">
        <v>1</v>
      </c>
      <c r="C4" s="26"/>
      <c r="D4" s="26"/>
      <c r="E4" s="26" t="s">
        <v>2</v>
      </c>
    </row>
    <row r="5" spans="1:15" x14ac:dyDescent="0.3">
      <c r="A5" s="25"/>
      <c r="B5" s="2" t="s">
        <v>3</v>
      </c>
      <c r="C5" s="2" t="s">
        <v>4</v>
      </c>
      <c r="D5" s="2" t="s">
        <v>5</v>
      </c>
      <c r="E5" s="26"/>
    </row>
    <row r="6" spans="1:15" x14ac:dyDescent="0.3">
      <c r="A6" s="2" t="s">
        <v>6</v>
      </c>
      <c r="B6" s="3">
        <v>6.0000000000000005E-2</v>
      </c>
      <c r="C6" s="7">
        <v>1.8000000000000002E-2</v>
      </c>
      <c r="D6" s="7">
        <v>2.9000000000000001E-2</v>
      </c>
      <c r="E6" s="2">
        <v>680</v>
      </c>
    </row>
    <row r="7" spans="1:15" x14ac:dyDescent="0.3">
      <c r="A7" s="2" t="s">
        <v>7</v>
      </c>
      <c r="B7" s="3">
        <v>0.03</v>
      </c>
      <c r="C7" s="7">
        <v>6.5000000000000002E-2</v>
      </c>
      <c r="D7" s="7">
        <v>5.7000000000000002E-2</v>
      </c>
      <c r="E7" s="2">
        <v>350</v>
      </c>
    </row>
    <row r="8" spans="1:15" x14ac:dyDescent="0.3">
      <c r="A8" s="2" t="s">
        <v>8</v>
      </c>
      <c r="B8" s="4">
        <v>0.84</v>
      </c>
      <c r="C8" s="4">
        <v>0.82000000000000006</v>
      </c>
      <c r="D8" s="4">
        <v>0.96</v>
      </c>
      <c r="E8" s="5"/>
    </row>
    <row r="11" spans="1:15" x14ac:dyDescent="0.3">
      <c r="E11" s="6" t="s">
        <v>10</v>
      </c>
    </row>
    <row r="12" spans="1:15" ht="15.6" x14ac:dyDescent="0.3">
      <c r="A12" s="27" t="s">
        <v>2</v>
      </c>
      <c r="B12" s="2" t="s">
        <v>11</v>
      </c>
      <c r="C12" s="2" t="s">
        <v>11</v>
      </c>
      <c r="D12" s="2" t="s">
        <v>11</v>
      </c>
      <c r="E12" s="2" t="s">
        <v>11</v>
      </c>
    </row>
    <row r="13" spans="1:15" x14ac:dyDescent="0.3">
      <c r="A13" s="28"/>
      <c r="B13" s="2">
        <v>130</v>
      </c>
      <c r="C13" s="2">
        <v>140</v>
      </c>
      <c r="D13" s="2">
        <v>350</v>
      </c>
      <c r="E13" s="2">
        <v>680</v>
      </c>
    </row>
    <row r="17" spans="1:8" x14ac:dyDescent="0.3">
      <c r="A17" s="25" t="s">
        <v>0</v>
      </c>
      <c r="B17" s="26" t="s">
        <v>1</v>
      </c>
      <c r="C17" s="26"/>
      <c r="D17" s="26"/>
    </row>
    <row r="18" spans="1:8" x14ac:dyDescent="0.3">
      <c r="A18" s="25"/>
      <c r="B18" s="2" t="s">
        <v>3</v>
      </c>
      <c r="C18" s="2" t="s">
        <v>4</v>
      </c>
      <c r="D18" s="2" t="s">
        <v>5</v>
      </c>
    </row>
    <row r="19" spans="1:8" x14ac:dyDescent="0.3">
      <c r="A19" s="2" t="s">
        <v>6</v>
      </c>
      <c r="B19" s="2">
        <v>0</v>
      </c>
      <c r="C19" s="2">
        <v>45</v>
      </c>
      <c r="D19" s="2">
        <v>1</v>
      </c>
      <c r="E19">
        <f>SUM(B19:D19)</f>
        <v>46</v>
      </c>
    </row>
    <row r="20" spans="1:8" x14ac:dyDescent="0.3">
      <c r="A20" s="2" t="s">
        <v>7</v>
      </c>
      <c r="B20" s="2">
        <v>28</v>
      </c>
      <c r="C20" s="2">
        <v>0</v>
      </c>
      <c r="D20" s="2">
        <v>16</v>
      </c>
      <c r="E20">
        <f>SUM(B20:D20)</f>
        <v>44</v>
      </c>
    </row>
    <row r="21" spans="1:8" x14ac:dyDescent="0.3">
      <c r="A21" s="2"/>
      <c r="B21" s="4">
        <f>SUMPRODUCT(B19:B20,B6:B7)</f>
        <v>0.84</v>
      </c>
      <c r="C21" s="4">
        <f t="shared" ref="C21:D21" si="0">SUMPRODUCT(C19:C20,C6:C7)</f>
        <v>0.81</v>
      </c>
      <c r="D21" s="4">
        <f t="shared" si="0"/>
        <v>0.94100000000000006</v>
      </c>
    </row>
    <row r="22" spans="1:8" x14ac:dyDescent="0.3">
      <c r="E22" t="s">
        <v>63</v>
      </c>
      <c r="F22" s="37">
        <v>20920</v>
      </c>
      <c r="G22" t="s">
        <v>64</v>
      </c>
      <c r="H22" s="37">
        <v>21380</v>
      </c>
    </row>
    <row r="23" spans="1:8" x14ac:dyDescent="0.3">
      <c r="E23" t="s">
        <v>67</v>
      </c>
      <c r="F23" s="24">
        <f>SUMPRODUCT(E19:E20,E6:E7)</f>
        <v>46680</v>
      </c>
      <c r="G23" t="s">
        <v>65</v>
      </c>
      <c r="H23" s="37">
        <v>21840</v>
      </c>
    </row>
    <row r="24" spans="1:8" x14ac:dyDescent="0.3">
      <c r="G24" t="s">
        <v>66</v>
      </c>
      <c r="H24" s="37">
        <v>31500</v>
      </c>
    </row>
    <row r="26" spans="1:8" x14ac:dyDescent="0.3">
      <c r="A26" s="25"/>
      <c r="B26" s="26"/>
      <c r="C26" s="26"/>
      <c r="D26" s="26"/>
    </row>
    <row r="27" spans="1:8" x14ac:dyDescent="0.3">
      <c r="A27" s="25"/>
      <c r="B27" s="2"/>
      <c r="C27" s="2"/>
      <c r="D27" s="2"/>
    </row>
    <row r="28" spans="1:8" x14ac:dyDescent="0.3">
      <c r="A28" s="2"/>
      <c r="B28" s="3"/>
      <c r="C28" s="7"/>
      <c r="D28" s="7"/>
    </row>
    <row r="29" spans="1:8" x14ac:dyDescent="0.3">
      <c r="A29" s="2"/>
      <c r="B29" s="3"/>
      <c r="C29" s="7"/>
      <c r="D29" s="7"/>
    </row>
    <row r="30" spans="1:8" x14ac:dyDescent="0.3">
      <c r="A30" s="2"/>
      <c r="B30" s="4"/>
      <c r="C30" s="4"/>
      <c r="D30" s="4"/>
    </row>
  </sheetData>
  <mergeCells count="8">
    <mergeCell ref="A26:A27"/>
    <mergeCell ref="B26:D26"/>
    <mergeCell ref="A4:A5"/>
    <mergeCell ref="B4:D4"/>
    <mergeCell ref="E4:E5"/>
    <mergeCell ref="A12:A13"/>
    <mergeCell ref="A17:A18"/>
    <mergeCell ref="B17:D17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selection activeCell="H5" sqref="H5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ht="4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9" t="s">
        <v>12</v>
      </c>
    </row>
    <row r="3" spans="1:14" x14ac:dyDescent="0.3">
      <c r="A3" s="6" t="s">
        <v>9</v>
      </c>
    </row>
    <row r="4" spans="1:14" ht="27.6" x14ac:dyDescent="0.3">
      <c r="A4" s="10" t="s">
        <v>24</v>
      </c>
      <c r="B4" s="10" t="s">
        <v>25</v>
      </c>
      <c r="C4" s="8" t="s">
        <v>26</v>
      </c>
      <c r="D4" s="11"/>
      <c r="E4" s="11" t="s">
        <v>46</v>
      </c>
      <c r="F4" s="11" t="s">
        <v>54</v>
      </c>
    </row>
    <row r="5" spans="1:14" x14ac:dyDescent="0.3">
      <c r="A5" s="12"/>
      <c r="B5" s="12" t="s">
        <v>17</v>
      </c>
      <c r="C5" s="2">
        <v>18</v>
      </c>
      <c r="D5" s="11">
        <f>F6+F7+F8+F9+F10</f>
        <v>19</v>
      </c>
      <c r="E5" s="11">
        <v>1</v>
      </c>
      <c r="F5">
        <v>5</v>
      </c>
      <c r="G5" t="s">
        <v>47</v>
      </c>
      <c r="H5" s="24">
        <f>SUMPRODUCT(D5:D11,C15:C21)</f>
        <v>274900</v>
      </c>
    </row>
    <row r="6" spans="1:14" x14ac:dyDescent="0.3">
      <c r="A6" s="12"/>
      <c r="B6" s="12" t="s">
        <v>18</v>
      </c>
      <c r="C6" s="2">
        <v>12</v>
      </c>
      <c r="D6" s="11">
        <f>F7+F8+F9+F10+F11</f>
        <v>12</v>
      </c>
      <c r="E6" s="11">
        <v>2</v>
      </c>
      <c r="F6">
        <v>8</v>
      </c>
      <c r="G6" t="s">
        <v>48</v>
      </c>
    </row>
    <row r="7" spans="1:14" x14ac:dyDescent="0.3">
      <c r="A7" s="12"/>
      <c r="B7" s="12" t="s">
        <v>19</v>
      </c>
      <c r="C7" s="2">
        <v>14</v>
      </c>
      <c r="D7" s="11">
        <f>F5+F8+F9+F10+F11</f>
        <v>14</v>
      </c>
      <c r="E7" s="11">
        <v>3</v>
      </c>
      <c r="F7">
        <v>3</v>
      </c>
      <c r="G7" t="s">
        <v>49</v>
      </c>
    </row>
    <row r="8" spans="1:14" x14ac:dyDescent="0.3">
      <c r="A8" s="12"/>
      <c r="B8" s="12" t="s">
        <v>20</v>
      </c>
      <c r="C8" s="2">
        <v>13</v>
      </c>
      <c r="D8" s="11">
        <f>F5+F6+F9+F10+F11</f>
        <v>18</v>
      </c>
      <c r="E8" s="11">
        <v>4</v>
      </c>
      <c r="F8">
        <v>4</v>
      </c>
      <c r="G8" t="s">
        <v>50</v>
      </c>
    </row>
    <row r="9" spans="1:14" x14ac:dyDescent="0.3">
      <c r="A9" s="12"/>
      <c r="B9" s="12" t="s">
        <v>21</v>
      </c>
      <c r="C9" s="2">
        <v>21</v>
      </c>
      <c r="D9" s="11">
        <f>F5+F6+F7+F10+F11</f>
        <v>21</v>
      </c>
      <c r="E9" s="11">
        <v>5</v>
      </c>
      <c r="F9">
        <v>0</v>
      </c>
      <c r="G9" t="s">
        <v>51</v>
      </c>
    </row>
    <row r="10" spans="1:14" x14ac:dyDescent="0.3">
      <c r="A10" s="12"/>
      <c r="B10" s="12" t="s">
        <v>22</v>
      </c>
      <c r="C10" s="2">
        <v>21</v>
      </c>
      <c r="D10" s="11">
        <f>F5+F6+F7+F8+F11</f>
        <v>21</v>
      </c>
      <c r="E10" s="11">
        <v>6</v>
      </c>
      <c r="F10">
        <v>4</v>
      </c>
      <c r="G10" t="s">
        <v>52</v>
      </c>
    </row>
    <row r="11" spans="1:14" x14ac:dyDescent="0.3">
      <c r="A11" s="12"/>
      <c r="B11" s="12" t="s">
        <v>23</v>
      </c>
      <c r="C11" s="2">
        <v>20</v>
      </c>
      <c r="D11" s="11">
        <f>F5+F6+F7+F8+F9</f>
        <v>20</v>
      </c>
      <c r="E11" s="11">
        <v>7</v>
      </c>
      <c r="F11">
        <v>1</v>
      </c>
      <c r="G11" t="s">
        <v>53</v>
      </c>
    </row>
    <row r="12" spans="1:14" x14ac:dyDescent="0.3">
      <c r="A12" s="11"/>
      <c r="B12" s="11"/>
      <c r="C12" s="11"/>
      <c r="D12" s="11"/>
      <c r="E12" s="11"/>
    </row>
    <row r="13" spans="1:14" x14ac:dyDescent="0.3">
      <c r="A13" s="6" t="s">
        <v>13</v>
      </c>
      <c r="B13" s="11"/>
      <c r="C13" s="11"/>
      <c r="D13" s="11"/>
      <c r="E13" s="11"/>
      <c r="G13" s="24">
        <f>SUM(F5:F11)</f>
        <v>25</v>
      </c>
    </row>
    <row r="14" spans="1:14" x14ac:dyDescent="0.3">
      <c r="A14" s="10" t="s">
        <v>14</v>
      </c>
      <c r="B14" s="10" t="s">
        <v>15</v>
      </c>
      <c r="C14" s="8" t="s">
        <v>16</v>
      </c>
    </row>
    <row r="15" spans="1:14" x14ac:dyDescent="0.3">
      <c r="A15" s="13"/>
      <c r="B15" s="12" t="s">
        <v>17</v>
      </c>
      <c r="C15" s="2">
        <v>2100</v>
      </c>
    </row>
    <row r="16" spans="1:14" x14ac:dyDescent="0.3">
      <c r="A16" s="13"/>
      <c r="B16" s="12" t="s">
        <v>18</v>
      </c>
      <c r="C16" s="2">
        <v>2100</v>
      </c>
    </row>
    <row r="17" spans="1:3" x14ac:dyDescent="0.3">
      <c r="A17" s="13"/>
      <c r="B17" s="12" t="s">
        <v>19</v>
      </c>
      <c r="C17" s="2">
        <v>2200</v>
      </c>
    </row>
    <row r="18" spans="1:3" x14ac:dyDescent="0.3">
      <c r="A18" s="13"/>
      <c r="B18" s="12" t="s">
        <v>20</v>
      </c>
      <c r="C18" s="2">
        <v>1800</v>
      </c>
    </row>
    <row r="19" spans="1:3" x14ac:dyDescent="0.3">
      <c r="A19" s="13"/>
      <c r="B19" s="12" t="s">
        <v>21</v>
      </c>
      <c r="C19" s="2">
        <v>2000</v>
      </c>
    </row>
    <row r="20" spans="1:3" x14ac:dyDescent="0.3">
      <c r="A20" s="13"/>
      <c r="B20" s="12" t="s">
        <v>22</v>
      </c>
      <c r="C20" s="2">
        <v>2600</v>
      </c>
    </row>
    <row r="21" spans="1:3" x14ac:dyDescent="0.3">
      <c r="A21" s="13"/>
      <c r="B21" s="12" t="s">
        <v>23</v>
      </c>
      <c r="C21" s="2">
        <v>2500</v>
      </c>
    </row>
  </sheetData>
  <hyperlinks>
    <hyperlink ref="A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"/>
  <sheetViews>
    <sheetView workbookViewId="0">
      <selection activeCell="J19" sqref="J19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ht="4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9" t="s">
        <v>12</v>
      </c>
    </row>
    <row r="3" spans="1:14" x14ac:dyDescent="0.3">
      <c r="A3" s="6"/>
    </row>
    <row r="5" spans="1:14" x14ac:dyDescent="0.3">
      <c r="A5" s="14"/>
      <c r="B5" s="15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/>
    </row>
    <row r="6" spans="1:14" ht="27.6" x14ac:dyDescent="0.3">
      <c r="A6" s="14"/>
      <c r="B6" s="14"/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/>
    </row>
    <row r="7" spans="1:14" x14ac:dyDescent="0.3">
      <c r="A7" s="12">
        <v>1</v>
      </c>
      <c r="B7" s="12" t="s">
        <v>32</v>
      </c>
      <c r="C7" s="2">
        <v>1.5</v>
      </c>
      <c r="D7" s="2">
        <v>2</v>
      </c>
      <c r="E7" s="2">
        <v>2.25</v>
      </c>
      <c r="F7" s="2">
        <v>2.5</v>
      </c>
      <c r="G7" s="2">
        <v>2</v>
      </c>
      <c r="H7" s="2">
        <v>220</v>
      </c>
    </row>
    <row r="8" spans="1:14" x14ac:dyDescent="0.3">
      <c r="A8" s="12">
        <v>2</v>
      </c>
      <c r="B8" s="12" t="s">
        <v>33</v>
      </c>
      <c r="C8" s="2">
        <v>2.5</v>
      </c>
      <c r="D8" s="2">
        <v>2.5</v>
      </c>
      <c r="E8" s="2">
        <v>1.25</v>
      </c>
      <c r="F8" s="2">
        <v>0.75</v>
      </c>
      <c r="G8" s="2">
        <v>1.75</v>
      </c>
      <c r="H8" s="2">
        <v>200</v>
      </c>
    </row>
    <row r="9" spans="1:14" x14ac:dyDescent="0.3">
      <c r="A9" s="12">
        <v>3</v>
      </c>
      <c r="B9" s="12" t="s">
        <v>34</v>
      </c>
      <c r="C9" s="2">
        <v>1.5</v>
      </c>
      <c r="D9" s="2">
        <v>1.25</v>
      </c>
      <c r="E9" s="2">
        <v>2</v>
      </c>
      <c r="F9" s="2">
        <v>1.75</v>
      </c>
      <c r="G9" s="2">
        <v>1.25</v>
      </c>
      <c r="H9" s="2">
        <v>225</v>
      </c>
    </row>
    <row r="10" spans="1:14" x14ac:dyDescent="0.3">
      <c r="A10" s="12">
        <v>4</v>
      </c>
      <c r="B10" s="12" t="s">
        <v>28</v>
      </c>
      <c r="C10" s="2">
        <v>1.75</v>
      </c>
      <c r="D10" s="2">
        <v>0</v>
      </c>
      <c r="E10" s="2">
        <v>1.75</v>
      </c>
      <c r="F10" s="2">
        <v>2</v>
      </c>
      <c r="G10" s="2">
        <v>2</v>
      </c>
      <c r="H10" s="2">
        <v>185</v>
      </c>
    </row>
    <row r="11" spans="1:14" x14ac:dyDescent="0.3">
      <c r="A11" s="12"/>
      <c r="B11" s="12"/>
      <c r="C11" s="2">
        <v>80</v>
      </c>
      <c r="D11" s="2">
        <v>260</v>
      </c>
      <c r="E11" s="2">
        <v>80</v>
      </c>
      <c r="F11" s="2">
        <v>270</v>
      </c>
      <c r="G11" s="2">
        <v>140</v>
      </c>
      <c r="H11" s="2"/>
    </row>
    <row r="13" spans="1:14" x14ac:dyDescent="0.3">
      <c r="B13" s="6" t="s">
        <v>9</v>
      </c>
    </row>
    <row r="14" spans="1:14" ht="27.6" x14ac:dyDescent="0.3">
      <c r="B14" s="12"/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</row>
    <row r="15" spans="1:14" x14ac:dyDescent="0.3">
      <c r="B15" s="12" t="s">
        <v>32</v>
      </c>
      <c r="C15" s="2">
        <v>80</v>
      </c>
      <c r="D15" s="2">
        <v>0</v>
      </c>
      <c r="E15" s="2">
        <v>80</v>
      </c>
      <c r="F15" s="2">
        <v>0</v>
      </c>
      <c r="G15" s="2">
        <v>60</v>
      </c>
      <c r="H15">
        <f>SUM(C15:G15)</f>
        <v>220</v>
      </c>
    </row>
    <row r="16" spans="1:14" x14ac:dyDescent="0.3">
      <c r="B16" s="12" t="s">
        <v>33</v>
      </c>
      <c r="C16" s="2">
        <v>0</v>
      </c>
      <c r="D16" s="2">
        <v>0</v>
      </c>
      <c r="E16" s="2">
        <v>0</v>
      </c>
      <c r="F16" s="2">
        <v>200</v>
      </c>
      <c r="G16" s="2">
        <v>0</v>
      </c>
      <c r="H16">
        <f t="shared" ref="H16:H18" si="0">SUM(C16:G16)</f>
        <v>200</v>
      </c>
    </row>
    <row r="17" spans="2:10" x14ac:dyDescent="0.3">
      <c r="B17" s="12" t="s">
        <v>34</v>
      </c>
      <c r="C17" s="2">
        <v>0</v>
      </c>
      <c r="D17" s="2">
        <v>75</v>
      </c>
      <c r="E17" s="2">
        <v>0</v>
      </c>
      <c r="F17" s="2">
        <v>70</v>
      </c>
      <c r="G17" s="2">
        <v>80</v>
      </c>
      <c r="H17">
        <f t="shared" si="0"/>
        <v>225</v>
      </c>
    </row>
    <row r="18" spans="2:10" x14ac:dyDescent="0.3">
      <c r="B18" s="12" t="s">
        <v>28</v>
      </c>
      <c r="C18" s="2">
        <v>0</v>
      </c>
      <c r="D18" s="2">
        <v>185</v>
      </c>
      <c r="E18" s="2">
        <v>0</v>
      </c>
      <c r="F18" s="2">
        <v>0</v>
      </c>
      <c r="G18" s="2">
        <v>0</v>
      </c>
      <c r="H18">
        <f t="shared" si="0"/>
        <v>185</v>
      </c>
    </row>
    <row r="19" spans="2:10" x14ac:dyDescent="0.3">
      <c r="C19">
        <f>SUM(C15:C18)</f>
        <v>80</v>
      </c>
      <c r="D19">
        <f t="shared" ref="D19:G19" si="1">SUM(D15:D18)</f>
        <v>260</v>
      </c>
      <c r="E19">
        <f t="shared" si="1"/>
        <v>80</v>
      </c>
      <c r="F19">
        <f t="shared" si="1"/>
        <v>270</v>
      </c>
      <c r="G19">
        <f t="shared" si="1"/>
        <v>140</v>
      </c>
      <c r="J19" s="24">
        <f>SUMPRODUCT(C15:G18,C7:G10)</f>
        <v>886.25</v>
      </c>
    </row>
  </sheetData>
  <hyperlinks>
    <hyperlink ref="A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workbookViewId="0">
      <selection activeCell="N10" sqref="N10"/>
    </sheetView>
  </sheetViews>
  <sheetFormatPr defaultRowHeight="14.4" x14ac:dyDescent="0.3"/>
  <cols>
    <col min="2" max="3" width="16.6640625" customWidth="1"/>
    <col min="13" max="13" width="11" customWidth="1"/>
  </cols>
  <sheetData>
    <row r="1" spans="1:14" ht="48" customHeight="1" x14ac:dyDescent="0.3">
      <c r="A1" s="1"/>
      <c r="B1" s="1"/>
      <c r="C1" s="1"/>
      <c r="D1" s="1"/>
      <c r="E1" s="1"/>
      <c r="F1" s="1"/>
      <c r="G1" s="1"/>
      <c r="H1" s="1"/>
    </row>
    <row r="2" spans="1:14" x14ac:dyDescent="0.3">
      <c r="A2" s="9" t="s">
        <v>12</v>
      </c>
    </row>
    <row r="4" spans="1:14" x14ac:dyDescent="0.3">
      <c r="A4" s="6" t="s">
        <v>9</v>
      </c>
      <c r="E4" s="6" t="s">
        <v>41</v>
      </c>
    </row>
    <row r="5" spans="1:14" x14ac:dyDescent="0.3">
      <c r="A5" s="12" t="s">
        <v>42</v>
      </c>
      <c r="B5" s="12" t="s">
        <v>43</v>
      </c>
      <c r="C5" s="12" t="s">
        <v>44</v>
      </c>
      <c r="E5" s="23" t="s">
        <v>45</v>
      </c>
      <c r="G5" t="s">
        <v>55</v>
      </c>
      <c r="H5" t="s">
        <v>58</v>
      </c>
    </row>
    <row r="6" spans="1:14" x14ac:dyDescent="0.3">
      <c r="A6" s="12">
        <v>1</v>
      </c>
      <c r="B6" s="12">
        <v>21400</v>
      </c>
      <c r="C6" s="12">
        <v>8200</v>
      </c>
      <c r="E6" s="2">
        <v>55000</v>
      </c>
      <c r="G6" s="33">
        <v>0</v>
      </c>
      <c r="H6" s="34">
        <v>1</v>
      </c>
    </row>
    <row r="7" spans="1:14" x14ac:dyDescent="0.3">
      <c r="A7" s="12">
        <v>2</v>
      </c>
      <c r="B7" s="12">
        <v>15200</v>
      </c>
      <c r="C7" s="12">
        <v>7500</v>
      </c>
      <c r="E7" s="2">
        <v>85000</v>
      </c>
      <c r="G7" s="33">
        <v>1</v>
      </c>
      <c r="H7" s="34">
        <v>1</v>
      </c>
    </row>
    <row r="8" spans="1:14" x14ac:dyDescent="0.3">
      <c r="A8" s="12">
        <v>3</v>
      </c>
      <c r="B8" s="12">
        <v>12600</v>
      </c>
      <c r="C8" s="12">
        <v>4500</v>
      </c>
      <c r="G8" s="33">
        <v>0</v>
      </c>
      <c r="H8" s="34">
        <v>1</v>
      </c>
    </row>
    <row r="9" spans="1:14" x14ac:dyDescent="0.3">
      <c r="A9" s="12">
        <v>4</v>
      </c>
      <c r="B9" s="12">
        <v>9500</v>
      </c>
      <c r="C9" s="12">
        <v>5400</v>
      </c>
      <c r="G9" s="33">
        <v>1</v>
      </c>
      <c r="H9" s="34">
        <v>1</v>
      </c>
      <c r="J9" t="s">
        <v>56</v>
      </c>
      <c r="K9">
        <f>SUMPRODUCT(G6:G13,B6:B13)</f>
        <v>51300</v>
      </c>
      <c r="M9" t="s">
        <v>59</v>
      </c>
      <c r="N9">
        <f>SUMPRODUCT(H6:H13,B6:B13)</f>
        <v>81400</v>
      </c>
    </row>
    <row r="10" spans="1:14" x14ac:dyDescent="0.3">
      <c r="A10" s="12">
        <v>5</v>
      </c>
      <c r="B10" s="12">
        <v>7400</v>
      </c>
      <c r="C10" s="12">
        <v>4700</v>
      </c>
      <c r="G10" s="33">
        <v>1</v>
      </c>
      <c r="H10" s="34">
        <v>1</v>
      </c>
      <c r="J10" t="s">
        <v>57</v>
      </c>
      <c r="K10" s="24">
        <f>SUMPRODUCT(G6:G13,C6:C13)</f>
        <v>25900</v>
      </c>
      <c r="M10" t="s">
        <v>60</v>
      </c>
      <c r="N10" s="35">
        <f>SUMPRODUCT(H6:H13,C6:C13)</f>
        <v>36100</v>
      </c>
    </row>
    <row r="11" spans="1:14" x14ac:dyDescent="0.3">
      <c r="A11" s="12">
        <v>6</v>
      </c>
      <c r="B11" s="12">
        <v>8400</v>
      </c>
      <c r="C11" s="12">
        <v>3000</v>
      </c>
      <c r="G11" s="33">
        <v>1</v>
      </c>
      <c r="H11" s="34">
        <v>1</v>
      </c>
    </row>
    <row r="12" spans="1:14" x14ac:dyDescent="0.3">
      <c r="A12" s="12">
        <v>7</v>
      </c>
      <c r="B12" s="12">
        <v>6900</v>
      </c>
      <c r="C12" s="12">
        <v>2800</v>
      </c>
      <c r="G12" s="33">
        <v>1</v>
      </c>
      <c r="H12" s="34">
        <v>1</v>
      </c>
    </row>
    <row r="13" spans="1:14" x14ac:dyDescent="0.3">
      <c r="A13" s="12">
        <v>8</v>
      </c>
      <c r="B13" s="12">
        <v>3900</v>
      </c>
      <c r="C13" s="12">
        <v>2500</v>
      </c>
      <c r="G13" s="33">
        <v>1</v>
      </c>
      <c r="H13" s="34">
        <v>0</v>
      </c>
    </row>
  </sheetData>
  <hyperlinks>
    <hyperlink ref="A2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workbookViewId="0">
      <selection activeCell="I17" sqref="I17"/>
    </sheetView>
  </sheetViews>
  <sheetFormatPr defaultRowHeight="14.4" x14ac:dyDescent="0.3"/>
  <cols>
    <col min="11" max="11" width="11.44140625" customWidth="1"/>
  </cols>
  <sheetData>
    <row r="1" spans="1:12" ht="48" customHeight="1" x14ac:dyDescent="0.3">
      <c r="A1" s="1"/>
      <c r="B1" s="1"/>
      <c r="C1" s="1"/>
      <c r="D1" s="1"/>
      <c r="E1" s="1"/>
      <c r="F1" s="1"/>
      <c r="G1" s="1"/>
      <c r="H1" s="1"/>
    </row>
    <row r="2" spans="1:12" x14ac:dyDescent="0.3">
      <c r="A2" s="9" t="s">
        <v>12</v>
      </c>
    </row>
    <row r="5" spans="1:12" x14ac:dyDescent="0.3">
      <c r="A5" s="16"/>
      <c r="B5" s="17"/>
      <c r="C5" s="29" t="s">
        <v>35</v>
      </c>
      <c r="D5" s="29"/>
      <c r="E5" s="29"/>
      <c r="F5" s="30"/>
    </row>
    <row r="6" spans="1:12" ht="14.4" customHeight="1" x14ac:dyDescent="0.3">
      <c r="A6" s="18"/>
      <c r="B6" s="19"/>
      <c r="C6" s="20" t="s">
        <v>36</v>
      </c>
      <c r="D6" s="21" t="s">
        <v>37</v>
      </c>
      <c r="E6" s="21" t="s">
        <v>38</v>
      </c>
      <c r="F6" s="21" t="s">
        <v>39</v>
      </c>
    </row>
    <row r="7" spans="1:12" x14ac:dyDescent="0.3">
      <c r="A7" s="31" t="s">
        <v>40</v>
      </c>
      <c r="B7" s="22">
        <v>1</v>
      </c>
      <c r="C7" s="2">
        <v>3</v>
      </c>
      <c r="D7" s="2">
        <v>7</v>
      </c>
      <c r="E7" s="2">
        <v>5</v>
      </c>
      <c r="F7" s="2">
        <v>8</v>
      </c>
    </row>
    <row r="8" spans="1:12" x14ac:dyDescent="0.3">
      <c r="A8" s="31"/>
      <c r="B8" s="21">
        <v>2</v>
      </c>
      <c r="C8" s="2">
        <v>8</v>
      </c>
      <c r="D8" s="2">
        <v>3</v>
      </c>
      <c r="E8" s="2">
        <v>13</v>
      </c>
      <c r="F8" s="2">
        <v>13</v>
      </c>
    </row>
    <row r="9" spans="1:12" x14ac:dyDescent="0.3">
      <c r="A9" s="31"/>
      <c r="B9" s="21">
        <v>3</v>
      </c>
      <c r="C9" s="2">
        <v>10</v>
      </c>
      <c r="D9" s="2">
        <v>13</v>
      </c>
      <c r="E9" s="2">
        <v>11</v>
      </c>
      <c r="F9" s="2">
        <v>9</v>
      </c>
    </row>
    <row r="10" spans="1:12" x14ac:dyDescent="0.3">
      <c r="A10" s="32"/>
      <c r="B10" s="21">
        <v>4</v>
      </c>
      <c r="C10" s="2">
        <v>6</v>
      </c>
      <c r="D10" s="2">
        <v>3</v>
      </c>
      <c r="E10" s="2">
        <v>6</v>
      </c>
      <c r="F10" s="2">
        <v>13</v>
      </c>
    </row>
    <row r="13" spans="1:12" x14ac:dyDescent="0.3">
      <c r="A13" s="16"/>
      <c r="B13" s="17"/>
      <c r="C13" s="29" t="s">
        <v>35</v>
      </c>
      <c r="D13" s="29"/>
      <c r="E13" s="29"/>
      <c r="F13" s="30"/>
    </row>
    <row r="14" spans="1:12" x14ac:dyDescent="0.3">
      <c r="A14" s="18"/>
      <c r="B14" s="19"/>
      <c r="C14" s="20" t="s">
        <v>36</v>
      </c>
      <c r="D14" s="21" t="s">
        <v>37</v>
      </c>
      <c r="E14" s="21" t="s">
        <v>38</v>
      </c>
      <c r="F14" s="21" t="s">
        <v>39</v>
      </c>
      <c r="K14" t="s">
        <v>61</v>
      </c>
      <c r="L14" t="s">
        <v>62</v>
      </c>
    </row>
    <row r="15" spans="1:12" x14ac:dyDescent="0.3">
      <c r="A15" s="31" t="s">
        <v>40</v>
      </c>
      <c r="B15" s="22">
        <v>1</v>
      </c>
      <c r="C15" s="2">
        <v>0</v>
      </c>
      <c r="D15" s="2">
        <v>1</v>
      </c>
      <c r="E15" s="2">
        <v>0</v>
      </c>
      <c r="F15" s="2">
        <v>0</v>
      </c>
      <c r="G15" s="35">
        <f>SUM(C15:F15)</f>
        <v>1</v>
      </c>
      <c r="K15">
        <f>SUMPRODUCT(C15:F15,C7:F7)</f>
        <v>7</v>
      </c>
      <c r="L15">
        <f>0.15*I17</f>
        <v>4.5</v>
      </c>
    </row>
    <row r="16" spans="1:12" x14ac:dyDescent="0.3">
      <c r="A16" s="31"/>
      <c r="B16" s="21">
        <v>2</v>
      </c>
      <c r="C16" s="2">
        <v>1</v>
      </c>
      <c r="D16" s="2">
        <v>0</v>
      </c>
      <c r="E16" s="2">
        <v>0</v>
      </c>
      <c r="F16" s="2">
        <v>0</v>
      </c>
      <c r="G16" s="35">
        <f t="shared" ref="G16:G18" si="0">SUM(C16:F16)</f>
        <v>1</v>
      </c>
      <c r="K16">
        <f t="shared" ref="K16:K18" si="1">SUMPRODUCT(C16:F16,C8:F8)</f>
        <v>8</v>
      </c>
    </row>
    <row r="17" spans="1:11" x14ac:dyDescent="0.3">
      <c r="A17" s="31"/>
      <c r="B17" s="21">
        <v>3</v>
      </c>
      <c r="C17" s="2">
        <v>0</v>
      </c>
      <c r="D17" s="2">
        <v>0</v>
      </c>
      <c r="E17" s="2">
        <v>0</v>
      </c>
      <c r="F17" s="2">
        <v>1</v>
      </c>
      <c r="G17" s="35">
        <f t="shared" si="0"/>
        <v>1</v>
      </c>
      <c r="I17" s="37">
        <f>SUMPRODUCT(C15:F18,C7:F10)</f>
        <v>30</v>
      </c>
      <c r="K17">
        <f t="shared" si="1"/>
        <v>9</v>
      </c>
    </row>
    <row r="18" spans="1:11" x14ac:dyDescent="0.3">
      <c r="A18" s="32"/>
      <c r="B18" s="21">
        <v>4</v>
      </c>
      <c r="C18" s="2">
        <v>0</v>
      </c>
      <c r="D18" s="2">
        <v>0</v>
      </c>
      <c r="E18" s="2">
        <v>1</v>
      </c>
      <c r="F18" s="2">
        <v>0</v>
      </c>
      <c r="G18" s="35">
        <f t="shared" si="0"/>
        <v>1</v>
      </c>
      <c r="K18">
        <f t="shared" si="1"/>
        <v>6</v>
      </c>
    </row>
    <row r="19" spans="1:11" x14ac:dyDescent="0.3">
      <c r="C19" s="36">
        <f>SUM(C15:C18)</f>
        <v>1</v>
      </c>
      <c r="D19" s="36">
        <f t="shared" ref="D19:F19" si="2">SUM(D15:D18)</f>
        <v>1</v>
      </c>
      <c r="E19" s="36">
        <f t="shared" si="2"/>
        <v>1</v>
      </c>
      <c r="F19" s="36">
        <f t="shared" si="2"/>
        <v>1</v>
      </c>
    </row>
  </sheetData>
  <mergeCells count="4">
    <mergeCell ref="C5:F5"/>
    <mergeCell ref="A7:A10"/>
    <mergeCell ref="C13:F13"/>
    <mergeCell ref="A15:A18"/>
  </mergeCells>
  <conditionalFormatting sqref="C15:F18">
    <cfRule type="cellIs" dxfId="0" priority="1" operator="equal">
      <formula>1</formula>
    </cfRule>
  </conditionalFormatting>
  <hyperlinks>
    <hyperlink ref="A2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Казакова Ангелина</cp:lastModifiedBy>
  <dcterms:created xsi:type="dcterms:W3CDTF">2025-11-28T21:09:32Z</dcterms:created>
  <dcterms:modified xsi:type="dcterms:W3CDTF">2026-10-18T13:21:13Z</dcterms:modified>
</cp:coreProperties>
</file>